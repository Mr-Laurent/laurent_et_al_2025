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Mon Drive\UG_metacells\laurent_et_al_2025\Figure 8S\"/>
    </mc:Choice>
  </mc:AlternateContent>
  <xr:revisionPtr revIDLastSave="0" documentId="13_ncr:1_{2D4BDEBB-76F1-49CB-B878-D537FECAB315}" xr6:coauthVersionLast="47" xr6:coauthVersionMax="47" xr10:uidLastSave="{00000000-0000-0000-0000-000000000000}"/>
  <bookViews>
    <workbookView xWindow="5085" yWindow="-13005" windowWidth="21600" windowHeight="11385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" i="1" l="1"/>
  <c r="P5" i="1"/>
  <c r="O5" i="1"/>
  <c r="N5" i="1"/>
  <c r="K5" i="1"/>
  <c r="J5" i="1"/>
  <c r="I5" i="1"/>
  <c r="H5" i="1"/>
  <c r="Q4" i="1"/>
  <c r="P4" i="1"/>
  <c r="O4" i="1"/>
  <c r="N4" i="1"/>
  <c r="K4" i="1"/>
  <c r="J4" i="1"/>
  <c r="I4" i="1"/>
  <c r="H4" i="1"/>
  <c r="Q3" i="1"/>
  <c r="P3" i="1"/>
  <c r="O3" i="1"/>
  <c r="N3" i="1"/>
  <c r="K3" i="1"/>
  <c r="J3" i="1"/>
  <c r="I3" i="1"/>
  <c r="H3" i="1"/>
</calcChain>
</file>

<file path=xl/sharedStrings.xml><?xml version="1.0" encoding="utf-8"?>
<sst xmlns="http://schemas.openxmlformats.org/spreadsheetml/2006/main" count="27" uniqueCount="11">
  <si>
    <t>% of PD-L1+ CD123+ cells</t>
  </si>
  <si>
    <t>% of PD-L1+ cells</t>
  </si>
  <si>
    <t>% of CD123+ cells</t>
  </si>
  <si>
    <t>Experiment ID</t>
  </si>
  <si>
    <t>GM-CSF
LPS</t>
  </si>
  <si>
    <t>GM-CSF
LPS
TNF</t>
  </si>
  <si>
    <t>GM-CSF
IFN
TNF</t>
  </si>
  <si>
    <t>GM-CSF
LPS
TNF
IFN</t>
  </si>
  <si>
    <t>MAC24</t>
  </si>
  <si>
    <t>MAC25</t>
  </si>
  <si>
    <t>MAC26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</si>
</sst>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workbookViewId="0">
      <selection sqref="A1:Q5"/>
    </sheetView>
  </sheetViews>
  <sheetFormatPr baseColWidth="10" defaultColWidth="9.140625" defaultRowHeight="15" x14ac:dyDescent="0.25"/>
  <sheetData>
    <row r="1" spans="1:17" x14ac:dyDescent="0.25">
      <c r="A1" s="1" t="s">
        <v>0</v>
      </c>
      <c r="B1" s="1"/>
      <c r="C1" s="1"/>
      <c r="D1" s="1"/>
      <c r="E1" s="1"/>
      <c r="F1" s="1"/>
      <c r="G1" s="2" t="s">
        <v>1</v>
      </c>
      <c r="H1" s="1"/>
      <c r="I1" s="1"/>
      <c r="J1" s="1"/>
      <c r="K1" s="1"/>
      <c r="L1" s="1"/>
      <c r="M1" s="2" t="s">
        <v>2</v>
      </c>
      <c r="N1" s="1"/>
      <c r="O1" s="1"/>
      <c r="P1" s="1"/>
      <c r="Q1" s="1"/>
    </row>
    <row r="2" spans="1:17" ht="60" x14ac:dyDescent="0.25">
      <c r="A2" s="3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1"/>
      <c r="G2" s="3" t="s">
        <v>3</v>
      </c>
      <c r="H2" s="4" t="s">
        <v>4</v>
      </c>
      <c r="I2" s="4" t="s">
        <v>5</v>
      </c>
      <c r="J2" s="4" t="s">
        <v>6</v>
      </c>
      <c r="K2" s="4" t="s">
        <v>7</v>
      </c>
      <c r="L2" s="1"/>
      <c r="M2" s="3" t="s">
        <v>3</v>
      </c>
      <c r="N2" s="4" t="s">
        <v>4</v>
      </c>
      <c r="O2" s="4" t="s">
        <v>5</v>
      </c>
      <c r="P2" s="4" t="s">
        <v>6</v>
      </c>
      <c r="Q2" s="4" t="s">
        <v>7</v>
      </c>
    </row>
    <row r="3" spans="1:17" x14ac:dyDescent="0.25">
      <c r="A3" s="5" t="s">
        <v>8</v>
      </c>
      <c r="B3" s="6">
        <v>0.87</v>
      </c>
      <c r="C3" s="6">
        <v>1.3</v>
      </c>
      <c r="D3" s="6">
        <v>0.42</v>
      </c>
      <c r="E3" s="6">
        <v>27.2</v>
      </c>
      <c r="G3" s="5" t="s">
        <v>8</v>
      </c>
      <c r="H3" s="6">
        <f>4.4+0.87</f>
        <v>5.2700000000000005</v>
      </c>
      <c r="I3" s="6">
        <f>1.5+1.3</f>
        <v>2.8</v>
      </c>
      <c r="J3" s="6">
        <f>35.3+0.42</f>
        <v>35.72</v>
      </c>
      <c r="K3" s="6">
        <f>66.4+27.2</f>
        <v>93.600000000000009</v>
      </c>
      <c r="M3" s="5" t="s">
        <v>8</v>
      </c>
      <c r="N3" s="6">
        <f>0.87+11.7</f>
        <v>12.569999999999999</v>
      </c>
      <c r="O3" s="6">
        <f>1.3+44.5</f>
        <v>45.8</v>
      </c>
      <c r="P3" s="6">
        <f>0.42+0.095</f>
        <v>0.51500000000000001</v>
      </c>
      <c r="Q3" s="6">
        <f>27.2+0.22</f>
        <v>27.419999999999998</v>
      </c>
    </row>
    <row r="4" spans="1:17" x14ac:dyDescent="0.25">
      <c r="A4" s="5" t="s">
        <v>9</v>
      </c>
      <c r="B4" s="6">
        <v>11.2</v>
      </c>
      <c r="C4" s="6">
        <v>17</v>
      </c>
      <c r="D4" s="6">
        <v>0.36</v>
      </c>
      <c r="E4" s="6">
        <v>26.8</v>
      </c>
      <c r="G4" s="5" t="s">
        <v>9</v>
      </c>
      <c r="H4" s="6">
        <f>34.9+11.2</f>
        <v>46.099999999999994</v>
      </c>
      <c r="I4" s="6">
        <f>20.9+17</f>
        <v>37.9</v>
      </c>
      <c r="J4" s="6">
        <f>41.8+0.36</f>
        <v>42.16</v>
      </c>
      <c r="K4" s="6">
        <f>65.9+26.8</f>
        <v>92.7</v>
      </c>
      <c r="M4" s="5" t="s">
        <v>9</v>
      </c>
      <c r="N4" s="6">
        <f>10.3+11.2</f>
        <v>21.5</v>
      </c>
      <c r="O4" s="6">
        <f>17+15.8</f>
        <v>32.799999999999997</v>
      </c>
      <c r="P4" s="6">
        <f>0.36+0.06</f>
        <v>0.42</v>
      </c>
      <c r="Q4" s="6">
        <f>26.8+0.012</f>
        <v>26.812000000000001</v>
      </c>
    </row>
    <row r="5" spans="1:17" x14ac:dyDescent="0.25">
      <c r="A5" s="5" t="s">
        <v>10</v>
      </c>
      <c r="B5" s="6">
        <v>4</v>
      </c>
      <c r="C5" s="6">
        <v>2.9</v>
      </c>
      <c r="D5" s="6">
        <v>1.2</v>
      </c>
      <c r="E5" s="6">
        <v>14.9</v>
      </c>
      <c r="G5" s="5" t="s">
        <v>10</v>
      </c>
      <c r="H5" s="6">
        <f>9.2+4</f>
        <v>13.2</v>
      </c>
      <c r="I5" s="6">
        <f>3.7+2.9</f>
        <v>6.6</v>
      </c>
      <c r="J5" s="6">
        <f>31.5+1.2</f>
        <v>32.700000000000003</v>
      </c>
      <c r="K5" s="6">
        <f>55.9+14.9</f>
        <v>70.8</v>
      </c>
      <c r="M5" s="5" t="s">
        <v>10</v>
      </c>
      <c r="N5" s="6">
        <f>4+14.5</f>
        <v>18.5</v>
      </c>
      <c r="O5" s="6">
        <f>2.9+15.4</f>
        <v>18.3</v>
      </c>
      <c r="P5" s="6">
        <f>1.2+0.38</f>
        <v>1.58</v>
      </c>
      <c r="Q5" s="6">
        <f>14.9+0.46</f>
        <v>15.360000000000001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E134321B</dc:creator>
  <cp:lastModifiedBy>Laurent Thomas</cp:lastModifiedBy>
  <dcterms:created xsi:type="dcterms:W3CDTF">2015-06-05T18:19:34Z</dcterms:created>
  <dcterms:modified xsi:type="dcterms:W3CDTF">2026-01-28T16:09:44Z</dcterms:modified>
</cp:coreProperties>
</file>